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landa.harris\Downloads\"/>
    </mc:Choice>
  </mc:AlternateContent>
  <xr:revisionPtr revIDLastSave="0" documentId="13_ncr:1_{0EAFB060-21F0-4B43-99B1-4E749A959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ink Packag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39" i="1"/>
  <c r="E28" i="1"/>
  <c r="B48" i="1"/>
  <c r="B47" i="1"/>
  <c r="B49" i="1" s="1"/>
  <c r="E18" i="1"/>
  <c r="E14" i="1"/>
  <c r="B28" i="1" s="1"/>
  <c r="B29" i="1" s="1"/>
  <c r="E29" i="1" s="1"/>
  <c r="E47" i="1" l="1"/>
  <c r="B15" i="1"/>
  <c r="B30" i="1"/>
  <c r="E49" i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User input: enter the advertised package price per person per day.</t>
        </r>
      </text>
    </comment>
    <comment ref="B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User input: enter gratuity as a percentage if not already included, e.g. 18%.</t>
        </r>
      </text>
    </comment>
    <comment ref="E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Formula: if gratuity is already included, use the package price. Otherwise add the gratuity percent.</t>
        </r>
      </text>
    </comment>
    <comment ref="B1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 shortcut: enter one average price if you do not want to fill the itemized prices below.</t>
        </r>
      </text>
    </comment>
  </commentList>
</comments>
</file>

<file path=xl/sharedStrings.xml><?xml version="1.0" encoding="utf-8"?>
<sst xmlns="http://schemas.openxmlformats.org/spreadsheetml/2006/main" count="61" uniqueCount="52">
  <si>
    <t>TRAVELHOLICS</t>
  </si>
  <si>
    <t>Drink Package Break-Even Calculator</t>
  </si>
  <si>
    <t>Same goal. New level. And I'm rooting for you.</t>
  </si>
  <si>
    <t>Fill in the yellow cells. Blue text = user inputs. Black text = formulas.</t>
  </si>
  <si>
    <t>Tip: Use per-person pricing. If you fill both the simple drink price and detailed prices, the simple price takes priority.</t>
  </si>
  <si>
    <t>Step 1: Cruise Details</t>
  </si>
  <si>
    <t>Cruise line</t>
  </si>
  <si>
    <t>Ship</t>
  </si>
  <si>
    <t>Sailing length (days)</t>
  </si>
  <si>
    <t>People buying packages</t>
  </si>
  <si>
    <t>Step 2: Enter Your Package Price</t>
  </si>
  <si>
    <t>Package price per person per day</t>
  </si>
  <si>
    <t>Gratuity included?</t>
  </si>
  <si>
    <t>Yes</t>
  </si>
  <si>
    <t>Gratuity % (if not included)</t>
  </si>
  <si>
    <t>Daily package total with gratuity (P)</t>
  </si>
  <si>
    <t>Total package cost for trip</t>
  </si>
  <si>
    <t>(auto)</t>
  </si>
  <si>
    <t>Step 3: Estimate Your Average Drink Cost (D)</t>
  </si>
  <si>
    <t>Simple average drink price</t>
  </si>
  <si>
    <t>Effective average drink cost (D)</t>
  </si>
  <si>
    <t>Cocktails</t>
  </si>
  <si>
    <t>Suggested (edit)</t>
  </si>
  <si>
    <t>Wine (per glass)</t>
  </si>
  <si>
    <t>Beer</t>
  </si>
  <si>
    <t>Specialty coffee</t>
  </si>
  <si>
    <t>Bottled water</t>
  </si>
  <si>
    <t>Soda</t>
  </si>
  <si>
    <t>Step 4: Find Your Break-Even Drinks Per Day</t>
  </si>
  <si>
    <t>Daily package total (P)</t>
  </si>
  <si>
    <t>Break-even drinks/day (N = P / D)</t>
  </si>
  <si>
    <t>Round up (recommended)</t>
  </si>
  <si>
    <t>Quick verdict</t>
  </si>
  <si>
    <t>Step 5: Reality Check (Sea Days vs Port Days)</t>
  </si>
  <si>
    <t>Sea days (count)</t>
  </si>
  <si>
    <t>Port days (count)</t>
  </si>
  <si>
    <t>Check: Sea + Port should equal sailing length</t>
  </si>
  <si>
    <t>Sea Day Quick Count (enter counts)</t>
  </si>
  <si>
    <t>Morning (coffee + water)</t>
  </si>
  <si>
    <t>Afternoon (drinks + water/soda)</t>
  </si>
  <si>
    <t>Evening (drinks + water)</t>
  </si>
  <si>
    <t>Sea day total drinks</t>
  </si>
  <si>
    <t>Port Day Quick Count (enter counts)</t>
  </si>
  <si>
    <t>Port day total drinks</t>
  </si>
  <si>
    <t>Sea day drinks planned (per sea day)</t>
  </si>
  <si>
    <t>Sea day worth it?</t>
  </si>
  <si>
    <t>Port day drinks planned (per port day)</t>
  </si>
  <si>
    <t>Port day worth it?</t>
  </si>
  <si>
    <t>Weighted avg drinks/day across trip</t>
  </si>
  <si>
    <t>Overall vs break-even</t>
  </si>
  <si>
    <t>Travelholics tip: If you are within 1-2 drinks of break-even, decide based on convenience, sea days, and how much you value not thinking about the bill.</t>
  </si>
  <si>
    <t>Ready for More? This guide covers the basics. For packing lists, budgeting tips, and insider strategies: Download the full Travelholics Cruise eBook. Created by Travelholics.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</si>
</sst>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&quot;&quot;"/>
    <numFmt numFmtId="165" formatCode="0.0%"/>
    <numFmt numFmtId="166" formatCode="0.0"/>
    <numFmt numFmtId="167" formatCode="\$0.00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4"/>
      <color rgb="FFFFFFFF"/>
      <name val="Calibri"/>
    </font>
    <font>
      <i/>
      <sz val="10"/>
      <color rgb="FFFFFFFF"/>
      <name val="Calibri"/>
    </font>
    <font>
      <b/>
      <sz val="10"/>
      <name val="Calibri"/>
    </font>
    <font>
      <sz val="9"/>
      <color rgb="FF666666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0"/>
      <color rgb="FF0000FF"/>
      <name val="Calibri"/>
    </font>
    <font>
      <b/>
      <sz val="10"/>
      <color rgb="FF000000"/>
      <name val="Calibri"/>
    </font>
    <font>
      <i/>
      <sz val="9"/>
      <color rgb="FF000000"/>
      <name val="Calibri"/>
    </font>
    <font>
      <b/>
      <sz val="9"/>
      <color rgb="FFFFFFFF"/>
      <name val="Calibri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5F7FA"/>
      </patternFill>
    </fill>
    <fill>
      <patternFill patternType="solid">
        <fgColor rgb="FFFFF9C4"/>
      </patternFill>
    </fill>
    <fill>
      <patternFill patternType="solid">
        <fgColor rgb="FFE8F7F7"/>
      </patternFill>
    </fill>
    <fill>
      <patternFill patternType="solid">
        <fgColor rgb="FFFFE5E1"/>
      </patternFill>
    </fill>
    <fill>
      <patternFill patternType="solid">
        <fgColor rgb="FFFF6F6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vertical="center"/>
    </xf>
    <xf numFmtId="1" fontId="8" fillId="4" borderId="1" xfId="0" applyNumberFormat="1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5" fontId="8" fillId="4" borderId="1" xfId="0" applyNumberFormat="1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164" fontId="9" fillId="5" borderId="1" xfId="0" applyNumberFormat="1" applyFont="1" applyFill="1" applyBorder="1" applyAlignment="1">
      <alignment vertical="center"/>
    </xf>
    <xf numFmtId="166" fontId="9" fillId="5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166" fontId="8" fillId="4" borderId="1" xfId="0" applyNumberFormat="1" applyFont="1" applyFill="1" applyBorder="1" applyAlignment="1">
      <alignment vertical="center"/>
    </xf>
    <xf numFmtId="0" fontId="10" fillId="6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167" fontId="8" fillId="4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166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" fontId="8" fillId="4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12" fillId="8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showGridLines="0" tabSelected="1" workbookViewId="0">
      <selection sqref="A1:C1"/>
    </sheetView>
  </sheetViews>
  <sheetFormatPr defaultRowHeight="14.5" x14ac:dyDescent="0.35"/>
  <cols>
    <col min="1" max="1" width="31" customWidth="1"/>
    <col min="2" max="2" width="15" customWidth="1"/>
    <col min="3" max="3" width="5" customWidth="1"/>
    <col min="4" max="4" width="25" customWidth="1"/>
    <col min="5" max="5" width="16" customWidth="1"/>
    <col min="6" max="6" width="12" customWidth="1"/>
  </cols>
  <sheetData>
    <row r="1" spans="1:6" ht="30" customHeight="1" x14ac:dyDescent="0.35">
      <c r="A1" s="30" t="s">
        <v>0</v>
      </c>
      <c r="B1" s="25"/>
      <c r="C1" s="25"/>
      <c r="D1" s="28" t="s">
        <v>1</v>
      </c>
      <c r="E1" s="25"/>
      <c r="F1" s="25"/>
    </row>
    <row r="2" spans="1:6" ht="24" customHeight="1" x14ac:dyDescent="0.35">
      <c r="A2" s="29" t="s">
        <v>2</v>
      </c>
      <c r="B2" s="25"/>
      <c r="C2" s="25"/>
      <c r="D2" s="25"/>
      <c r="E2" s="25"/>
      <c r="F2" s="25"/>
    </row>
    <row r="3" spans="1:6" ht="22" customHeight="1" x14ac:dyDescent="0.35">
      <c r="A3" s="27" t="s">
        <v>3</v>
      </c>
      <c r="B3" s="25"/>
      <c r="C3" s="25"/>
      <c r="D3" s="25"/>
      <c r="E3" s="25"/>
      <c r="F3" s="25"/>
    </row>
    <row r="4" spans="1:6" ht="24" customHeight="1" x14ac:dyDescent="0.35">
      <c r="A4" s="26" t="s">
        <v>4</v>
      </c>
      <c r="B4" s="25"/>
      <c r="C4" s="25"/>
      <c r="D4" s="25"/>
      <c r="E4" s="25"/>
      <c r="F4" s="25"/>
    </row>
    <row r="5" spans="1:6" ht="22" customHeight="1" x14ac:dyDescent="0.35"/>
    <row r="6" spans="1:6" ht="22" customHeight="1" x14ac:dyDescent="0.35">
      <c r="A6" s="31" t="s">
        <v>5</v>
      </c>
      <c r="B6" s="25"/>
      <c r="C6" s="25"/>
      <c r="D6" s="25"/>
      <c r="E6" s="25"/>
      <c r="F6" s="25"/>
    </row>
    <row r="7" spans="1:6" ht="22" customHeight="1" x14ac:dyDescent="0.35">
      <c r="A7" s="2" t="s">
        <v>6</v>
      </c>
      <c r="B7" s="3"/>
      <c r="D7" s="2" t="s">
        <v>7</v>
      </c>
      <c r="E7" s="3"/>
    </row>
    <row r="8" spans="1:6" ht="22" customHeight="1" x14ac:dyDescent="0.35">
      <c r="A8" s="2" t="s">
        <v>8</v>
      </c>
      <c r="B8" s="19"/>
      <c r="D8" s="2" t="s">
        <v>9</v>
      </c>
      <c r="E8" s="19"/>
    </row>
    <row r="9" spans="1:6" ht="22" customHeight="1" x14ac:dyDescent="0.35">
      <c r="A9" s="2"/>
      <c r="B9" s="20"/>
      <c r="D9" s="2"/>
      <c r="E9" s="20"/>
    </row>
    <row r="10" spans="1:6" ht="22" customHeight="1" x14ac:dyDescent="0.35">
      <c r="A10" s="2"/>
      <c r="B10" s="21"/>
      <c r="C10" s="2"/>
    </row>
    <row r="11" spans="1:6" ht="22" customHeight="1" x14ac:dyDescent="0.35">
      <c r="A11" s="25"/>
      <c r="B11" s="25"/>
      <c r="C11" s="25"/>
      <c r="D11" s="25"/>
      <c r="E11" s="25"/>
      <c r="F11" s="25"/>
    </row>
    <row r="12" spans="1:6" ht="22" customHeight="1" x14ac:dyDescent="0.35">
      <c r="A12" s="1" t="s">
        <v>10</v>
      </c>
    </row>
    <row r="13" spans="1:6" ht="28" customHeight="1" x14ac:dyDescent="0.35">
      <c r="A13" s="2" t="s">
        <v>11</v>
      </c>
      <c r="B13" s="5"/>
      <c r="D13" s="2" t="s">
        <v>12</v>
      </c>
      <c r="E13" s="3" t="s">
        <v>13</v>
      </c>
    </row>
    <row r="14" spans="1:6" ht="22" customHeight="1" x14ac:dyDescent="0.35">
      <c r="A14" s="2" t="s">
        <v>14</v>
      </c>
      <c r="B14" s="6"/>
      <c r="D14" s="7" t="s">
        <v>15</v>
      </c>
      <c r="E14" s="8" t="str">
        <f>IF(B13="","",IF(E13="Yes",B13,B13*(1+B14)))</f>
        <v/>
      </c>
    </row>
    <row r="15" spans="1:6" ht="22" customHeight="1" x14ac:dyDescent="0.35">
      <c r="A15" s="2" t="s">
        <v>16</v>
      </c>
      <c r="B15" s="4" t="str">
        <f>IF(OR(B8="",E8="",E14=""),"",B8*E8*E14)</f>
        <v/>
      </c>
      <c r="C15" s="2" t="s">
        <v>17</v>
      </c>
    </row>
    <row r="16" spans="1:6" ht="28" customHeight="1" x14ac:dyDescent="0.35">
      <c r="A16" s="25" t="s">
        <v>18</v>
      </c>
      <c r="B16" s="25"/>
      <c r="C16" s="25"/>
      <c r="D16" s="25"/>
      <c r="E16" s="25"/>
      <c r="F16" s="25"/>
    </row>
    <row r="17" spans="1:5" ht="22" customHeight="1" x14ac:dyDescent="0.35">
      <c r="A17" s="1"/>
    </row>
    <row r="18" spans="1:5" ht="22" customHeight="1" x14ac:dyDescent="0.35">
      <c r="A18" s="2" t="s">
        <v>19</v>
      </c>
      <c r="B18" s="14">
        <v>7.85</v>
      </c>
      <c r="D18" s="7" t="s">
        <v>20</v>
      </c>
      <c r="E18" s="8">
        <f>IF(B17&lt;&gt;"",B17,IF(COUNT(B19:B24)&gt;0,AVERAGE(B19:B24),""))</f>
        <v>7.85</v>
      </c>
    </row>
    <row r="19" spans="1:5" ht="22" customHeight="1" x14ac:dyDescent="0.35"/>
    <row r="20" spans="1:5" ht="22" customHeight="1" x14ac:dyDescent="0.35">
      <c r="A20" s="2" t="s">
        <v>21</v>
      </c>
      <c r="B20" s="14">
        <v>13</v>
      </c>
      <c r="C20" s="2" t="s">
        <v>22</v>
      </c>
    </row>
    <row r="21" spans="1:5" ht="22" customHeight="1" x14ac:dyDescent="0.35">
      <c r="A21" s="2" t="s">
        <v>23</v>
      </c>
      <c r="B21" s="14">
        <v>11</v>
      </c>
      <c r="C21" s="2" t="s">
        <v>22</v>
      </c>
    </row>
    <row r="22" spans="1:5" ht="22" customHeight="1" x14ac:dyDescent="0.35">
      <c r="A22" s="2" t="s">
        <v>24</v>
      </c>
      <c r="B22" s="14">
        <v>7.75</v>
      </c>
      <c r="C22" s="2" t="s">
        <v>22</v>
      </c>
    </row>
    <row r="23" spans="1:5" ht="22" customHeight="1" x14ac:dyDescent="0.35">
      <c r="A23" s="2" t="s">
        <v>25</v>
      </c>
      <c r="B23" s="14">
        <v>4.25</v>
      </c>
      <c r="C23" s="2" t="s">
        <v>22</v>
      </c>
    </row>
    <row r="24" spans="1:5" ht="22" customHeight="1" x14ac:dyDescent="0.35">
      <c r="A24" s="2" t="s">
        <v>26</v>
      </c>
      <c r="B24" s="14">
        <v>3.25</v>
      </c>
      <c r="C24" s="2" t="s">
        <v>22</v>
      </c>
    </row>
    <row r="25" spans="1:5" ht="26" customHeight="1" x14ac:dyDescent="0.35">
      <c r="A25" s="2" t="s">
        <v>27</v>
      </c>
      <c r="B25" s="14">
        <v>3.5</v>
      </c>
      <c r="C25" s="2" t="s">
        <v>22</v>
      </c>
    </row>
    <row r="26" spans="1:5" ht="26" customHeight="1" x14ac:dyDescent="0.35"/>
    <row r="27" spans="1:5" ht="30" customHeight="1" x14ac:dyDescent="0.35">
      <c r="A27" s="1" t="s">
        <v>28</v>
      </c>
    </row>
    <row r="28" spans="1:5" ht="22" customHeight="1" x14ac:dyDescent="0.35">
      <c r="A28" s="7" t="s">
        <v>29</v>
      </c>
      <c r="B28" s="14" t="str">
        <f>E14</f>
        <v/>
      </c>
      <c r="D28" s="7" t="s">
        <v>20</v>
      </c>
      <c r="E28" s="14">
        <f>E18</f>
        <v>7.85</v>
      </c>
    </row>
    <row r="29" spans="1:5" ht="22" customHeight="1" x14ac:dyDescent="0.35">
      <c r="A29" s="7" t="s">
        <v>30</v>
      </c>
      <c r="B29" s="11" t="str">
        <f>IF(OR(B28="",E28=""),"",B28/E28)</f>
        <v/>
      </c>
      <c r="D29" s="7" t="s">
        <v>31</v>
      </c>
      <c r="E29" s="4" t="str">
        <f>IF(B29="","",ROUNDUP(B29,0))</f>
        <v/>
      </c>
    </row>
    <row r="30" spans="1:5" ht="22" customHeight="1" x14ac:dyDescent="0.35">
      <c r="A30" s="10" t="s">
        <v>32</v>
      </c>
      <c r="B30" s="10" t="str">
        <f>IF(E29="","",IF(E29&lt;=6,"Usually NOT worth it for most people",IF(E29&lt;=8,"Depends on your sea days + convenience","Often worth it if you hit this daily")) )</f>
        <v/>
      </c>
    </row>
    <row r="31" spans="1:5" ht="22" customHeight="1" x14ac:dyDescent="0.35"/>
    <row r="32" spans="1:5" ht="22" customHeight="1" x14ac:dyDescent="0.35">
      <c r="A32" s="1" t="s">
        <v>33</v>
      </c>
    </row>
    <row r="33" spans="1:6" ht="22" customHeight="1" x14ac:dyDescent="0.35">
      <c r="A33" s="2" t="s">
        <v>34</v>
      </c>
      <c r="B33" s="3"/>
      <c r="D33" s="2" t="s">
        <v>35</v>
      </c>
      <c r="E33" s="3"/>
    </row>
    <row r="34" spans="1:6" ht="22" customHeight="1" x14ac:dyDescent="0.35">
      <c r="A34" s="24" t="s">
        <v>36</v>
      </c>
      <c r="B34" s="25"/>
      <c r="C34" s="25"/>
      <c r="D34" s="25"/>
      <c r="E34" s="25"/>
      <c r="F34" s="25"/>
    </row>
    <row r="35" spans="1:6" ht="22" customHeight="1" x14ac:dyDescent="0.35">
      <c r="A35" s="1" t="s">
        <v>37</v>
      </c>
    </row>
    <row r="36" spans="1:6" ht="22" customHeight="1" x14ac:dyDescent="0.35">
      <c r="A36" s="2" t="s">
        <v>38</v>
      </c>
      <c r="B36" s="3"/>
    </row>
    <row r="37" spans="1:6" ht="22" customHeight="1" x14ac:dyDescent="0.35">
      <c r="A37" s="2" t="s">
        <v>39</v>
      </c>
      <c r="B37" s="3"/>
    </row>
    <row r="38" spans="1:6" ht="22" customHeight="1" x14ac:dyDescent="0.35">
      <c r="A38" s="2" t="s">
        <v>40</v>
      </c>
      <c r="B38" s="3"/>
    </row>
    <row r="39" spans="1:6" ht="32" customHeight="1" x14ac:dyDescent="0.35">
      <c r="A39" s="2" t="s">
        <v>41</v>
      </c>
      <c r="B39" s="9" t="str">
        <f>IF(COUNTA(B36:B38)=0,"",SUM(B36:B38))</f>
        <v/>
      </c>
      <c r="D39" s="2"/>
      <c r="E39" s="22"/>
    </row>
    <row r="40" spans="1:6" ht="22" customHeight="1" x14ac:dyDescent="0.35">
      <c r="A40" s="25"/>
      <c r="B40" s="25"/>
      <c r="C40" s="25"/>
      <c r="D40" s="25"/>
      <c r="E40" s="25"/>
      <c r="F40" s="25"/>
    </row>
    <row r="41" spans="1:6" ht="34" customHeight="1" x14ac:dyDescent="0.35">
      <c r="A41" s="1" t="s">
        <v>42</v>
      </c>
    </row>
    <row r="42" spans="1:6" ht="22" customHeight="1" x14ac:dyDescent="0.35">
      <c r="A42" s="2" t="s">
        <v>38</v>
      </c>
      <c r="B42" s="3"/>
    </row>
    <row r="43" spans="1:6" ht="22" customHeight="1" x14ac:dyDescent="0.35">
      <c r="A43" s="2" t="s">
        <v>39</v>
      </c>
      <c r="B43" s="3"/>
    </row>
    <row r="44" spans="1:6" ht="22" customHeight="1" x14ac:dyDescent="0.35">
      <c r="A44" s="2" t="s">
        <v>40</v>
      </c>
      <c r="B44" s="3"/>
    </row>
    <row r="45" spans="1:6" ht="22" customHeight="1" x14ac:dyDescent="0.35">
      <c r="A45" s="2" t="s">
        <v>43</v>
      </c>
      <c r="B45" s="9" t="str">
        <f>IF(COUNTA(B42:B44)=0,"",SUM(B42:B44))</f>
        <v/>
      </c>
      <c r="D45" s="2"/>
      <c r="E45" s="23"/>
    </row>
    <row r="46" spans="1:6" ht="22" customHeight="1" x14ac:dyDescent="0.35"/>
    <row r="47" spans="1:6" ht="22" customHeight="1" x14ac:dyDescent="0.35">
      <c r="A47" s="2" t="s">
        <v>44</v>
      </c>
      <c r="B47" s="3" t="str">
        <f>IF(B38="","",B38)</f>
        <v/>
      </c>
      <c r="D47" s="2" t="s">
        <v>45</v>
      </c>
      <c r="E47" t="str">
        <f>IF(OR(B47="",E29=""),"",IF(B47&gt;=E29,"Yes",IF(B47&gt;=E29-1,"Maybe","No")))</f>
        <v/>
      </c>
    </row>
    <row r="48" spans="1:6" ht="22" customHeight="1" x14ac:dyDescent="0.35">
      <c r="A48" s="2" t="s">
        <v>46</v>
      </c>
      <c r="B48" s="3" t="str">
        <f>IF(B44="","",B44)</f>
        <v/>
      </c>
      <c r="D48" s="2" t="s">
        <v>47</v>
      </c>
      <c r="E48" t="str">
        <f>IF(OR(B47="",E29=""),"",IF(B47&gt;=E29,"Yes",IF(B47&gt;=E29-1,"Maybe","No")))</f>
        <v/>
      </c>
    </row>
    <row r="49" spans="1:5" ht="22" customHeight="1" x14ac:dyDescent="0.35">
      <c r="A49" s="2" t="s">
        <v>48</v>
      </c>
      <c r="B49" s="4" t="str">
        <f>IF(OR(B33="",E33="",B47="",B47=""),"", (B33*B47 + E33*B47)/(B33+E33))</f>
        <v/>
      </c>
      <c r="D49" s="2" t="s">
        <v>49</v>
      </c>
      <c r="E49" t="str">
        <f>IF(OR(B48="",E29=""),"",IF(B48&gt;=E29,"Over break-even",IF(B48&gt;=E29-1,"Close to break-even","Below break-even")))</f>
        <v/>
      </c>
    </row>
    <row r="51" spans="1:5" x14ac:dyDescent="0.35">
      <c r="A51" s="16"/>
    </row>
    <row r="52" spans="1:5" x14ac:dyDescent="0.35">
      <c r="A52" s="2"/>
    </row>
    <row r="53" spans="1:5" x14ac:dyDescent="0.35">
      <c r="A53" s="2"/>
      <c r="B53" s="15"/>
    </row>
    <row r="54" spans="1:5" x14ac:dyDescent="0.35">
      <c r="A54" s="2"/>
    </row>
    <row r="55" spans="1:5" x14ac:dyDescent="0.35">
      <c r="A55" s="2"/>
      <c r="B55" s="17"/>
      <c r="D55" s="2"/>
      <c r="E55" s="18"/>
    </row>
    <row r="57" spans="1:5" ht="48" x14ac:dyDescent="0.35">
      <c r="A57" s="12" t="s">
        <v>50</v>
      </c>
    </row>
    <row r="59" spans="1:5" ht="60" x14ac:dyDescent="0.35">
      <c r="A59" s="13" t="s">
        <v>51</v>
      </c>
    </row>
  </sheetData>
  <mergeCells count="10">
    <mergeCell ref="A34:F34"/>
    <mergeCell ref="A40:F40"/>
    <mergeCell ref="A4:F4"/>
    <mergeCell ref="A3:F3"/>
    <mergeCell ref="D1:F1"/>
    <mergeCell ref="A16:F16"/>
    <mergeCell ref="A11:F11"/>
    <mergeCell ref="A2:F2"/>
    <mergeCell ref="A1:C1"/>
    <mergeCell ref="A6:F6"/>
  </mergeCells>
  <dataValidations count="1">
    <dataValidation type="list" allowBlank="1" sqref="E13" xr:uid="{00000000-0002-0000-0000-000000000000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Drink Package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Yolanda Harris</cp:lastModifiedBy>
  <dcterms:created xsi:type="dcterms:W3CDTF">2026-03-06T17:19:13Z</dcterms:created>
  <dcterms:modified xsi:type="dcterms:W3CDTF">2026-03-11T15:40:33Z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ed875-cb67-40d7-9ea6-a804b08b1148_Enabled">
    <vt:lpwstr>true</vt:lpwstr>
  </property>
  <property fmtid="{D5CDD505-2E9C-101B-9397-08002B2CF9AE}" pid="3" name="MSIP_Label_9a7ed875-cb67-40d7-9ea6-a804b08b1148_SetDate">
    <vt:lpwstr>2026-03-10T21:54:09Z</vt:lpwstr>
  </property>
  <property fmtid="{D5CDD505-2E9C-101B-9397-08002B2CF9AE}" pid="4" name="MSIP_Label_9a7ed875-cb67-40d7-9ea6-a804b08b1148_Method">
    <vt:lpwstr>Privileged</vt:lpwstr>
  </property>
  <property fmtid="{D5CDD505-2E9C-101B-9397-08002B2CF9AE}" pid="5" name="MSIP_Label_9a7ed875-cb67-40d7-9ea6-a804b08b1148_Name">
    <vt:lpwstr>9a7ed875-cb67-40d7-9ea6-a804b08b1148</vt:lpwstr>
  </property>
  <property fmtid="{D5CDD505-2E9C-101B-9397-08002B2CF9AE}" pid="6" name="MSIP_Label_9a7ed875-cb67-40d7-9ea6-a804b08b1148_SiteId">
    <vt:lpwstr>473672ba-cd07-4371-a2ae-788b4c61840e</vt:lpwstr>
  </property>
  <property fmtid="{D5CDD505-2E9C-101B-9397-08002B2CF9AE}" pid="7" name="MSIP_Label_9a7ed875-cb67-40d7-9ea6-a804b08b1148_ActionId">
    <vt:lpwstr>40038742-6062-41ff-992a-5c8a1b4a952b</vt:lpwstr>
  </property>
  <property fmtid="{D5CDD505-2E9C-101B-9397-08002B2CF9AE}" pid="8" name="MSIP_Label_9a7ed875-cb67-40d7-9ea6-a804b08b1148_ContentBits">
    <vt:lpwstr>0</vt:lpwstr>
  </property>
  <property fmtid="{D5CDD505-2E9C-101B-9397-08002B2CF9AE}" pid="9" name="MSIP_Label_9a7ed875-cb67-40d7-9ea6-a804b08b1148_Tag">
    <vt:lpwstr>10, 0, 1, 1</vt:lpwstr>
  </property>
</Properties>
</file>